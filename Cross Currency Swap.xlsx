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E4EDB09-9E1E-4BEE-BFA2-58971C11CB41}" xr6:coauthVersionLast="47" xr6:coauthVersionMax="47" xr10:uidLastSave="{00000000-0000-0000-0000-000000000000}"/>
  <bookViews>
    <workbookView xWindow="-110" yWindow="-110" windowWidth="19420" windowHeight="10300" firstSheet="1" activeTab="2" xr2:uid="{91E279D7-D162-4D21-88A1-576A423FE42B}"/>
  </bookViews>
  <sheets>
    <sheet name="Caracteristiques" sheetId="1" r:id="rId1"/>
    <sheet name=" Domestic Leg" sheetId="2" r:id="rId2"/>
    <sheet name="ForeignLeg" sheetId="4" r:id="rId3"/>
    <sheet name="FX FORWARD" sheetId="3" r:id="rId4"/>
    <sheet name="result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I6" i="3"/>
  <c r="F5" i="4" s="1"/>
  <c r="J14" i="2"/>
  <c r="J15" i="2"/>
  <c r="L14" i="2"/>
  <c r="F21" i="2"/>
  <c r="K5" i="4"/>
  <c r="C4" i="4"/>
  <c r="C5" i="4" s="1"/>
  <c r="C12" i="1"/>
  <c r="P6" i="4"/>
  <c r="P7" i="4"/>
  <c r="P8" i="4"/>
  <c r="P4" i="4"/>
  <c r="P7" i="2"/>
  <c r="P8" i="2"/>
  <c r="P9" i="2"/>
  <c r="I28" i="5" a="1"/>
  <c r="I28" i="5" s="1"/>
  <c r="N24" i="4"/>
  <c r="M21" i="4"/>
  <c r="M22" i="4"/>
  <c r="M23" i="4"/>
  <c r="M24" i="4"/>
  <c r="M20" i="4"/>
  <c r="N20" i="4" s="1"/>
  <c r="L22" i="4"/>
  <c r="L23" i="4"/>
  <c r="L20" i="4"/>
  <c r="K21" i="4"/>
  <c r="K22" i="4"/>
  <c r="K23" i="4"/>
  <c r="K24" i="4"/>
  <c r="K20" i="4"/>
  <c r="J20" i="4"/>
  <c r="H20" i="4"/>
  <c r="G20" i="4"/>
  <c r="F20" i="4"/>
  <c r="D21" i="4"/>
  <c r="D22" i="4"/>
  <c r="D23" i="4"/>
  <c r="D24" i="4"/>
  <c r="D20" i="4"/>
  <c r="L15" i="4"/>
  <c r="L14" i="4"/>
  <c r="J14" i="4"/>
  <c r="J13" i="4"/>
  <c r="H14" i="4"/>
  <c r="H4" i="4"/>
  <c r="I4" i="4" s="1"/>
  <c r="G4" i="4"/>
  <c r="K15" i="2"/>
  <c r="D6" i="2"/>
  <c r="D7" i="2"/>
  <c r="D8" i="2"/>
  <c r="D9" i="2"/>
  <c r="D5" i="2"/>
  <c r="I14" i="4"/>
  <c r="I13" i="4"/>
  <c r="G14" i="4"/>
  <c r="G13" i="4"/>
  <c r="F14" i="4"/>
  <c r="F13" i="4"/>
  <c r="E14" i="4"/>
  <c r="E13" i="4"/>
  <c r="D14" i="4"/>
  <c r="D13" i="4"/>
  <c r="K7" i="2"/>
  <c r="K8" i="2"/>
  <c r="K9" i="2"/>
  <c r="K6" i="2"/>
  <c r="K6" i="4"/>
  <c r="K7" i="4"/>
  <c r="K8" i="4"/>
  <c r="M5" i="4"/>
  <c r="M6" i="4"/>
  <c r="M7" i="4"/>
  <c r="M8" i="4"/>
  <c r="M4" i="4"/>
  <c r="H6" i="4"/>
  <c r="H22" i="4" s="1"/>
  <c r="H7" i="4"/>
  <c r="H23" i="4" s="1"/>
  <c r="H8" i="4"/>
  <c r="H6" i="2"/>
  <c r="H7" i="2"/>
  <c r="H22" i="2"/>
  <c r="I22" i="2" s="1"/>
  <c r="H23" i="2"/>
  <c r="I23" i="2" s="1"/>
  <c r="L23" i="2" s="1"/>
  <c r="H5" i="2"/>
  <c r="H21" i="2" s="1"/>
  <c r="I21" i="2" s="1"/>
  <c r="G5" i="4"/>
  <c r="G6" i="4"/>
  <c r="G22" i="4" s="1"/>
  <c r="G7" i="4"/>
  <c r="G8" i="4"/>
  <c r="F6" i="4"/>
  <c r="F22" i="4" s="1"/>
  <c r="F7" i="4"/>
  <c r="F23" i="4" s="1"/>
  <c r="F8" i="4"/>
  <c r="F24" i="4" s="1"/>
  <c r="F4" i="4"/>
  <c r="E5" i="4"/>
  <c r="E6" i="4"/>
  <c r="E7" i="4"/>
  <c r="G23" i="4" s="1"/>
  <c r="E8" i="4"/>
  <c r="E24" i="4" s="1"/>
  <c r="E4" i="4"/>
  <c r="E20" i="4"/>
  <c r="D5" i="4"/>
  <c r="D6" i="4"/>
  <c r="D7" i="4"/>
  <c r="D8" i="4"/>
  <c r="D4" i="4"/>
  <c r="J24" i="4"/>
  <c r="J23" i="4"/>
  <c r="J22" i="4"/>
  <c r="E22" i="4"/>
  <c r="J21" i="4"/>
  <c r="C20" i="4"/>
  <c r="C21" i="4" s="1"/>
  <c r="C22" i="4" s="1"/>
  <c r="C23" i="4" s="1"/>
  <c r="C24" i="4" s="1"/>
  <c r="K14" i="4"/>
  <c r="C13" i="4"/>
  <c r="N25" i="2"/>
  <c r="M25" i="2"/>
  <c r="M22" i="2"/>
  <c r="M23" i="2"/>
  <c r="M24" i="2"/>
  <c r="M21" i="2"/>
  <c r="L24" i="2"/>
  <c r="L25" i="2"/>
  <c r="L21" i="2"/>
  <c r="J22" i="2"/>
  <c r="J23" i="2"/>
  <c r="J24" i="2"/>
  <c r="J25" i="2"/>
  <c r="J21" i="2"/>
  <c r="K22" i="2"/>
  <c r="K23" i="2"/>
  <c r="K24" i="2"/>
  <c r="K25" i="2"/>
  <c r="K21" i="2"/>
  <c r="I24" i="2"/>
  <c r="I25" i="2"/>
  <c r="G22" i="2"/>
  <c r="G23" i="2"/>
  <c r="G24" i="2"/>
  <c r="G25" i="2"/>
  <c r="G21" i="2"/>
  <c r="H24" i="2"/>
  <c r="H25" i="2"/>
  <c r="F23" i="2"/>
  <c r="F24" i="2"/>
  <c r="F25" i="2"/>
  <c r="E22" i="2"/>
  <c r="E23" i="2"/>
  <c r="E24" i="2"/>
  <c r="E25" i="2"/>
  <c r="E21" i="2"/>
  <c r="D22" i="2"/>
  <c r="D23" i="2"/>
  <c r="D24" i="2"/>
  <c r="D25" i="2"/>
  <c r="D21" i="2"/>
  <c r="C21" i="2"/>
  <c r="C22" i="2" s="1"/>
  <c r="C23" i="2" s="1"/>
  <c r="C24" i="2" s="1"/>
  <c r="C25" i="2" s="1"/>
  <c r="G15" i="2"/>
  <c r="G14" i="2"/>
  <c r="I14" i="2" s="1"/>
  <c r="H15" i="2"/>
  <c r="F15" i="2"/>
  <c r="C14" i="2"/>
  <c r="C15" i="2" s="1"/>
  <c r="D15" i="2"/>
  <c r="D14" i="2"/>
  <c r="L9" i="2"/>
  <c r="N9" i="2" s="1"/>
  <c r="M6" i="2"/>
  <c r="M7" i="2"/>
  <c r="M8" i="2"/>
  <c r="M9" i="2"/>
  <c r="M5" i="2"/>
  <c r="H8" i="2"/>
  <c r="H9" i="2"/>
  <c r="G6" i="2"/>
  <c r="G7" i="2"/>
  <c r="G8" i="2"/>
  <c r="G9" i="2"/>
  <c r="G5" i="2"/>
  <c r="F7" i="2"/>
  <c r="F8" i="2"/>
  <c r="F9" i="2"/>
  <c r="I7" i="3"/>
  <c r="I8" i="3"/>
  <c r="I9" i="3"/>
  <c r="I5" i="3"/>
  <c r="F6" i="3"/>
  <c r="F7" i="3"/>
  <c r="F8" i="3"/>
  <c r="F9" i="3"/>
  <c r="F5" i="3"/>
  <c r="E7" i="3"/>
  <c r="E8" i="3"/>
  <c r="E9" i="3"/>
  <c r="E6" i="3"/>
  <c r="E5" i="3"/>
  <c r="E6" i="2"/>
  <c r="E7" i="2"/>
  <c r="E8" i="2"/>
  <c r="E9" i="2"/>
  <c r="E5" i="2"/>
  <c r="C5" i="2"/>
  <c r="B1" i="1"/>
  <c r="B12" i="1"/>
  <c r="F21" i="4" l="1"/>
  <c r="H5" i="4"/>
  <c r="H21" i="4" s="1"/>
  <c r="I21" i="4" s="1"/>
  <c r="L21" i="4" s="1"/>
  <c r="N21" i="4" s="1"/>
  <c r="F22" i="2"/>
  <c r="L16" i="2"/>
  <c r="L13" i="4"/>
  <c r="L8" i="2"/>
  <c r="C6" i="4"/>
  <c r="C7" i="4" s="1"/>
  <c r="I22" i="4"/>
  <c r="N22" i="4" s="1"/>
  <c r="L22" i="2"/>
  <c r="I5" i="2"/>
  <c r="L5" i="2" s="1"/>
  <c r="N5" i="2" s="1"/>
  <c r="I23" i="4"/>
  <c r="E23" i="4"/>
  <c r="I8" i="4"/>
  <c r="L8" i="4" s="1"/>
  <c r="N8" i="4" s="1"/>
  <c r="I5" i="4"/>
  <c r="G21" i="4"/>
  <c r="E21" i="4"/>
  <c r="I7" i="4"/>
  <c r="L7" i="4" s="1"/>
  <c r="N7" i="4" s="1"/>
  <c r="I6" i="4"/>
  <c r="L6" i="4" s="1"/>
  <c r="N6" i="4" s="1"/>
  <c r="H24" i="4"/>
  <c r="N24" i="2"/>
  <c r="I15" i="2"/>
  <c r="L15" i="2" s="1"/>
  <c r="I9" i="2"/>
  <c r="I8" i="2"/>
  <c r="I7" i="2"/>
  <c r="I6" i="2"/>
  <c r="C6" i="2"/>
  <c r="C7" i="2" s="1"/>
  <c r="C8" i="2" s="1"/>
  <c r="C9" i="2" s="1"/>
  <c r="P5" i="4" l="1"/>
  <c r="P9" i="4" s="1"/>
  <c r="J31" i="4" s="1"/>
  <c r="L5" i="4"/>
  <c r="N5" i="4" s="1"/>
  <c r="P6" i="2"/>
  <c r="P10" i="2" s="1"/>
  <c r="I30" i="2" s="1"/>
  <c r="L6" i="2"/>
  <c r="N6" i="2" s="1"/>
  <c r="C8" i="4"/>
  <c r="C14" i="4" s="1"/>
  <c r="L7" i="2"/>
  <c r="N7" i="2" s="1"/>
  <c r="G24" i="4"/>
  <c r="I24" i="4" s="1"/>
  <c r="L4" i="4"/>
  <c r="N4" i="4" s="1"/>
  <c r="I20" i="4"/>
  <c r="N22" i="2"/>
  <c r="N23" i="2"/>
  <c r="N21" i="2"/>
  <c r="N8" i="2"/>
  <c r="N9" i="4" l="1"/>
  <c r="J29" i="4" s="1"/>
  <c r="N25" i="4"/>
  <c r="N10" i="2"/>
  <c r="N26" i="2"/>
  <c r="N23" i="4"/>
  <c r="I28" i="2" l="1"/>
  <c r="A4" i="5" s="1"/>
  <c r="E4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<sst xmlns="http://schemas.openxmlformats.org/spreadsheetml/2006/main" count="127" uniqueCount="80">
  <si>
    <t>TradeDate</t>
  </si>
  <si>
    <t>Maturity(years)</t>
  </si>
  <si>
    <t>1Y</t>
  </si>
  <si>
    <t>Trade National</t>
  </si>
  <si>
    <t>USD</t>
  </si>
  <si>
    <t>Mtm</t>
  </si>
  <si>
    <t>Notional Exchanges</t>
  </si>
  <si>
    <t>Reset Currency</t>
  </si>
  <si>
    <t>Valuation Currency</t>
  </si>
  <si>
    <t xml:space="preserve">SpotFX </t>
  </si>
  <si>
    <t>EUR/USD</t>
  </si>
  <si>
    <t>Leg Currency</t>
  </si>
  <si>
    <t>EUR</t>
  </si>
  <si>
    <t>Leg Notional</t>
  </si>
  <si>
    <t>Leg Type</t>
  </si>
  <si>
    <t>Pay or Receive</t>
  </si>
  <si>
    <t>FloatIndex</t>
  </si>
  <si>
    <t>Frequency</t>
  </si>
  <si>
    <t>Leg Reset Required</t>
  </si>
  <si>
    <t>NO</t>
  </si>
  <si>
    <t>YES</t>
  </si>
  <si>
    <t>DayCountBasis</t>
  </si>
  <si>
    <t>ACT/360</t>
  </si>
  <si>
    <t>float</t>
  </si>
  <si>
    <t xml:space="preserve">float </t>
  </si>
  <si>
    <t>LIBOR USD</t>
  </si>
  <si>
    <t>EURIBOR EUR</t>
  </si>
  <si>
    <t>QUARTERLY</t>
  </si>
  <si>
    <t>PAY</t>
  </si>
  <si>
    <t xml:space="preserve">Notional </t>
  </si>
  <si>
    <t>Valuation Adj</t>
  </si>
  <si>
    <t>Reset Adj</t>
  </si>
  <si>
    <t xml:space="preserve">Notional Adj </t>
  </si>
  <si>
    <t>Year Fraction</t>
  </si>
  <si>
    <t>Float Rate l</t>
  </si>
  <si>
    <t>Coupon PV</t>
  </si>
  <si>
    <t>Total</t>
  </si>
  <si>
    <t>SpotFX USD/EUR</t>
  </si>
  <si>
    <t>ForwardFX USD/EUR</t>
  </si>
  <si>
    <t xml:space="preserve">Valuation Adj </t>
  </si>
  <si>
    <t>Coupon</t>
  </si>
  <si>
    <t>Forward USD/EUR</t>
  </si>
  <si>
    <t>Notional Exchange</t>
  </si>
  <si>
    <t>DiscountFact</t>
  </si>
  <si>
    <t>PV</t>
  </si>
  <si>
    <t>Notional</t>
  </si>
  <si>
    <t>SpotFX Eur/USD</t>
  </si>
  <si>
    <t>Notional Adj</t>
  </si>
  <si>
    <t>Reset Amount</t>
  </si>
  <si>
    <t>Discount Factor</t>
  </si>
  <si>
    <t>Date</t>
  </si>
  <si>
    <t>SpotFX FOR/DOM</t>
  </si>
  <si>
    <t>DiscFctor DOM</t>
  </si>
  <si>
    <t>P(t0,ti) FOR</t>
  </si>
  <si>
    <t>P(t0,ti) DOM</t>
  </si>
  <si>
    <t>f(ti) FOR/DOM</t>
  </si>
  <si>
    <t>ForwardFX FOR/DOM</t>
  </si>
  <si>
    <t>DiscFctor FOR</t>
  </si>
  <si>
    <t>Leg2-Foreign Coupons</t>
  </si>
  <si>
    <t>Leg2-Foreing notional exchange</t>
  </si>
  <si>
    <t>Leg1-FOREIGN Notional Resets</t>
  </si>
  <si>
    <t>Indicator MTM</t>
  </si>
  <si>
    <t>Indicator Reset</t>
  </si>
  <si>
    <t>SpotFX Dom/For</t>
  </si>
  <si>
    <t>Leg2-Domestic Coupons</t>
  </si>
  <si>
    <t>ForwardFX DOM/FOR</t>
  </si>
  <si>
    <t>Leg2-Domestic notional exchange</t>
  </si>
  <si>
    <t>SpotFX DOM/FOR</t>
  </si>
  <si>
    <t>Forward DOM/FOR</t>
  </si>
  <si>
    <t>domestic spread</t>
  </si>
  <si>
    <t>PV of the swap for the foreign leg</t>
  </si>
  <si>
    <t>Annuity i</t>
  </si>
  <si>
    <t>Annuity</t>
  </si>
  <si>
    <t>Annuity of foreign</t>
  </si>
  <si>
    <t>PV Foreign Leg</t>
  </si>
  <si>
    <t>PV domestic leg</t>
  </si>
  <si>
    <t>Annuity for the domestic leg</t>
  </si>
  <si>
    <t xml:space="preserve">PV of the domestic leg </t>
  </si>
  <si>
    <t>les coupons paye par la jambe domestic a la jambe variable</t>
  </si>
  <si>
    <t>Leg1-Domestic Notional Resets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</si>
</sst>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%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" fontId="0" fillId="0" borderId="0" xfId="0" applyNumberFormat="1"/>
    <xf numFmtId="9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B14E-3D92-4DB3-B52A-F62A4D548385}">
  <dimension ref="A1:C21"/>
  <sheetViews>
    <sheetView topLeftCell="A13" zoomScale="130" zoomScaleNormal="130" workbookViewId="0">
      <selection activeCell="C14" sqref="C14"/>
    </sheetView>
  </sheetViews>
  <sheetFormatPr baseColWidth="10" defaultRowHeight="14.5"/>
  <cols>
    <col min="1" max="1" width="25" customWidth="1"/>
    <col min="2" max="2" width="19.7265625" customWidth="1"/>
    <col min="3" max="3" width="17.453125" customWidth="1"/>
  </cols>
  <sheetData>
    <row r="1" spans="1:3">
      <c r="A1" s="1" t="s">
        <v>0</v>
      </c>
      <c r="B1" s="2">
        <f ca="1">TODAY()</f>
        <v>46093</v>
      </c>
      <c r="C1" s="1"/>
    </row>
    <row r="2" spans="1:3">
      <c r="A2" t="s">
        <v>1</v>
      </c>
      <c r="B2" t="s">
        <v>2</v>
      </c>
      <c r="C2" s="3">
        <v>46091</v>
      </c>
    </row>
    <row r="3" spans="1:3">
      <c r="A3" t="s">
        <v>3</v>
      </c>
      <c r="B3">
        <v>1000000</v>
      </c>
    </row>
    <row r="5" spans="1:3">
      <c r="A5" t="s">
        <v>5</v>
      </c>
      <c r="B5" t="s">
        <v>20</v>
      </c>
    </row>
    <row r="6" spans="1:3">
      <c r="A6" t="s">
        <v>6</v>
      </c>
      <c r="B6" t="s">
        <v>20</v>
      </c>
    </row>
    <row r="7" spans="1:3">
      <c r="A7" t="s">
        <v>7</v>
      </c>
      <c r="B7" t="s">
        <v>4</v>
      </c>
    </row>
    <row r="8" spans="1:3">
      <c r="A8" t="s">
        <v>8</v>
      </c>
      <c r="B8" t="s">
        <v>4</v>
      </c>
    </row>
    <row r="10" spans="1:3">
      <c r="A10" s="1" t="s">
        <v>9</v>
      </c>
      <c r="B10" s="1">
        <v>1.1403000000000001</v>
      </c>
      <c r="C10" s="1" t="s">
        <v>10</v>
      </c>
    </row>
    <row r="11" spans="1:3">
      <c r="A11" t="s">
        <v>11</v>
      </c>
      <c r="B11" t="s">
        <v>4</v>
      </c>
      <c r="C11" t="s">
        <v>12</v>
      </c>
    </row>
    <row r="12" spans="1:3">
      <c r="A12" t="s">
        <v>13</v>
      </c>
      <c r="B12" s="4">
        <f>B3</f>
        <v>1000000</v>
      </c>
      <c r="C12" s="4">
        <f>B3/B10</f>
        <v>876962.20292905369</v>
      </c>
    </row>
    <row r="14" spans="1:3">
      <c r="A14" s="1" t="s">
        <v>14</v>
      </c>
      <c r="B14" s="1" t="s">
        <v>24</v>
      </c>
      <c r="C14" s="1" t="s">
        <v>23</v>
      </c>
    </row>
    <row r="15" spans="1:3">
      <c r="A15" t="s">
        <v>15</v>
      </c>
      <c r="B15" s="5" t="s">
        <v>28</v>
      </c>
      <c r="C15" s="5"/>
    </row>
    <row r="16" spans="1:3">
      <c r="A16" t="s">
        <v>16</v>
      </c>
      <c r="B16" t="s">
        <v>26</v>
      </c>
      <c r="C16" t="s">
        <v>25</v>
      </c>
    </row>
    <row r="17" spans="1:3">
      <c r="A17" t="s">
        <v>17</v>
      </c>
      <c r="B17" t="s">
        <v>27</v>
      </c>
      <c r="C17" t="s">
        <v>27</v>
      </c>
    </row>
    <row r="18" spans="1:3">
      <c r="A18" t="s">
        <v>18</v>
      </c>
      <c r="B18" t="s">
        <v>20</v>
      </c>
      <c r="C18" t="s">
        <v>19</v>
      </c>
    </row>
    <row r="21" spans="1:3">
      <c r="A21" t="s">
        <v>21</v>
      </c>
      <c r="B21" t="s">
        <v>22</v>
      </c>
      <c r="C2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7A61-7FFF-4991-8AA7-AD05F9D8AC21}">
  <dimension ref="C3:P30"/>
  <sheetViews>
    <sheetView topLeftCell="A2" zoomScale="59" zoomScaleNormal="115" workbookViewId="0">
      <selection activeCell="H13" sqref="H13"/>
    </sheetView>
  </sheetViews>
  <sheetFormatPr baseColWidth="10" defaultRowHeight="14.5"/>
  <cols>
    <col min="5" max="5" width="19.08984375" customWidth="1"/>
    <col min="6" max="6" width="22.6328125" customWidth="1"/>
    <col min="7" max="7" width="15.36328125" customWidth="1"/>
    <col min="8" max="8" width="17.1796875" customWidth="1"/>
    <col min="10" max="10" width="13.36328125" customWidth="1"/>
    <col min="11" max="11" width="14.81640625" customWidth="1"/>
    <col min="13" max="13" width="15.08984375" customWidth="1"/>
  </cols>
  <sheetData>
    <row r="3" spans="3:16">
      <c r="C3" s="1" t="s">
        <v>58</v>
      </c>
      <c r="D3" s="1"/>
      <c r="E3" t="s">
        <v>78</v>
      </c>
    </row>
    <row r="4" spans="3:16">
      <c r="C4" t="s">
        <v>50</v>
      </c>
      <c r="D4" s="6" t="s">
        <v>29</v>
      </c>
      <c r="E4" s="6" t="s">
        <v>51</v>
      </c>
      <c r="F4" s="6" t="s">
        <v>56</v>
      </c>
      <c r="G4" s="6" t="s">
        <v>39</v>
      </c>
      <c r="H4" s="6" t="s">
        <v>31</v>
      </c>
      <c r="I4" s="6" t="s">
        <v>32</v>
      </c>
      <c r="J4" s="6" t="s">
        <v>33</v>
      </c>
      <c r="K4" s="6" t="s">
        <v>34</v>
      </c>
      <c r="L4" s="6" t="s">
        <v>40</v>
      </c>
      <c r="M4" s="6" t="s">
        <v>57</v>
      </c>
      <c r="N4" s="6" t="s">
        <v>35</v>
      </c>
      <c r="P4" s="6" t="s">
        <v>71</v>
      </c>
    </row>
    <row r="5" spans="3:16">
      <c r="C5" s="3">
        <f ca="1">TODAY()</f>
        <v>46093</v>
      </c>
      <c r="D5" s="4">
        <f>Caracteristiques!$C$12</f>
        <v>876962.20292905369</v>
      </c>
      <c r="E5">
        <f>Caracteristiques!$B$10</f>
        <v>1.1403000000000001</v>
      </c>
      <c r="F5" s="7">
        <f>'FX FORWARD'!I5</f>
        <v>1.1403000000000001</v>
      </c>
      <c r="G5">
        <f>E5</f>
        <v>1.1403000000000001</v>
      </c>
      <c r="H5">
        <f>IF(Caracteristiques!C18="N0",1, E5/F5)</f>
        <v>1</v>
      </c>
      <c r="I5">
        <f>G5*H5</f>
        <v>1.1403000000000001</v>
      </c>
      <c r="J5">
        <v>0.25280000000000002</v>
      </c>
      <c r="K5" s="8">
        <v>0</v>
      </c>
      <c r="L5">
        <f>D5*I5*J5*K5</f>
        <v>0</v>
      </c>
      <c r="M5">
        <f>'FX FORWARD'!G5</f>
        <v>1</v>
      </c>
      <c r="N5">
        <f>L5*M5</f>
        <v>0</v>
      </c>
      <c r="P5">
        <v>0</v>
      </c>
    </row>
    <row r="6" spans="3:16">
      <c r="C6" s="3">
        <f ca="1">C5+90</f>
        <v>46183</v>
      </c>
      <c r="D6" s="4">
        <f>Caracteristiques!$C$12</f>
        <v>876962.20292905369</v>
      </c>
      <c r="E6">
        <f>Caracteristiques!$B$10</f>
        <v>1.1403000000000001</v>
      </c>
      <c r="F6" s="7">
        <f>'FX FORWARD'!I6</f>
        <v>1.1496879936228852</v>
      </c>
      <c r="G6">
        <f t="shared" ref="G6:G9" si="0">E6</f>
        <v>1.1403000000000001</v>
      </c>
      <c r="H6">
        <f>IF(Caracteristiques!$C$18="NO",1, ' Domestic Leg'!F6/' Domestic Leg'!E6)</f>
        <v>1</v>
      </c>
      <c r="I6">
        <f t="shared" ref="I6:I9" si="1">G6*H6</f>
        <v>1.1403000000000001</v>
      </c>
      <c r="J6">
        <v>0.25280000000000002</v>
      </c>
      <c r="K6" s="8">
        <f>(1/J6)*(M5/M6-1)</f>
        <v>-9.3331486224948433E-3</v>
      </c>
      <c r="L6">
        <f>D6*I6*J6*K6</f>
        <v>-2359.4199717666966</v>
      </c>
      <c r="M6">
        <f>'FX FORWARD'!G6</f>
        <v>1.002365</v>
      </c>
      <c r="N6">
        <f>L6*M6</f>
        <v>-2364.9999999999245</v>
      </c>
      <c r="P6">
        <f>$D$5*I6*M6*J6</f>
        <v>253397.87200000003</v>
      </c>
    </row>
    <row r="7" spans="3:16">
      <c r="C7" s="3">
        <f t="shared" ref="C7:C9" ca="1" si="2">C6+90</f>
        <v>46273</v>
      </c>
      <c r="D7" s="4">
        <f>Caracteristiques!$C$12</f>
        <v>876962.20292905369</v>
      </c>
      <c r="E7">
        <f>Caracteristiques!$B$10</f>
        <v>1.1403000000000001</v>
      </c>
      <c r="F7" s="7">
        <f>'FX FORWARD'!I7</f>
        <v>1.1589283588434083</v>
      </c>
      <c r="G7">
        <f t="shared" si="0"/>
        <v>1.1403000000000001</v>
      </c>
      <c r="H7">
        <f>IF(Caracteristiques!$C$18="NO",1, ' Domestic Leg'!F7/' Domestic Leg'!E7)</f>
        <v>1</v>
      </c>
      <c r="I7">
        <f t="shared" si="1"/>
        <v>1.1403000000000001</v>
      </c>
      <c r="J7">
        <v>0.25280000000000002</v>
      </c>
      <c r="K7" s="8">
        <f t="shared" ref="K7:K9" si="3">(1/J7)*(M6/M7-1)</f>
        <v>-7.1575670545776836E-3</v>
      </c>
      <c r="L7">
        <f t="shared" ref="L7:L9" si="4">D7*I7*J7*K7</f>
        <v>-1809.4329513972386</v>
      </c>
      <c r="M7">
        <f>'FX FORWARD'!G7</f>
        <v>1.0041819999999999</v>
      </c>
      <c r="N7">
        <f t="shared" ref="N7:N9" si="5">L7*M7</f>
        <v>-1816.9999999999818</v>
      </c>
      <c r="P7">
        <f t="shared" ref="P7:P9" si="6">$D$5*I7*M7*J7</f>
        <v>253857.2096</v>
      </c>
    </row>
    <row r="8" spans="3:16">
      <c r="C8" s="3">
        <f t="shared" ca="1" si="2"/>
        <v>46363</v>
      </c>
      <c r="D8" s="4">
        <f>Caracteristiques!$C$12</f>
        <v>876962.20292905369</v>
      </c>
      <c r="E8">
        <f>Caracteristiques!$B$10</f>
        <v>1.1403000000000001</v>
      </c>
      <c r="F8" s="7">
        <f>'FX FORWARD'!I8</f>
        <v>1.1687744152089985</v>
      </c>
      <c r="G8">
        <f t="shared" si="0"/>
        <v>1.1403000000000001</v>
      </c>
      <c r="H8">
        <f>IF(Caracteristiques!$C$18="NO",1, ' Domestic Leg'!F8/' Domestic Leg'!E8)</f>
        <v>1</v>
      </c>
      <c r="I8">
        <f t="shared" si="1"/>
        <v>1.1403000000000001</v>
      </c>
      <c r="J8">
        <v>0.25280000000000002</v>
      </c>
      <c r="K8" s="8">
        <f t="shared" si="3"/>
        <v>-6.8580931174021193E-3</v>
      </c>
      <c r="L8">
        <f t="shared" si="4"/>
        <v>-1733.7259400792559</v>
      </c>
      <c r="M8">
        <f>'FX FORWARD'!G8</f>
        <v>1.0059260000000001</v>
      </c>
      <c r="N8">
        <f t="shared" si="5"/>
        <v>-1744.0000000001658</v>
      </c>
      <c r="P8">
        <f t="shared" si="6"/>
        <v>254298.09280000004</v>
      </c>
    </row>
    <row r="9" spans="3:16">
      <c r="C9" s="3">
        <f t="shared" ca="1" si="2"/>
        <v>46453</v>
      </c>
      <c r="D9" s="4">
        <f>Caracteristiques!$C$12</f>
        <v>876962.20292905369</v>
      </c>
      <c r="E9">
        <f>Caracteristiques!$B$10</f>
        <v>1.1403000000000001</v>
      </c>
      <c r="F9" s="7">
        <f>'FX FORWARD'!I9</f>
        <v>1.178907248028576</v>
      </c>
      <c r="G9">
        <f t="shared" si="0"/>
        <v>1.1403000000000001</v>
      </c>
      <c r="H9">
        <f>IF(Caracteristiques!$C$18="NO",1, ' Domestic Leg'!F9/' Domestic Leg'!E9)</f>
        <v>1</v>
      </c>
      <c r="I9">
        <f t="shared" si="1"/>
        <v>1.1403000000000001</v>
      </c>
      <c r="J9">
        <v>0.25280000000000002</v>
      </c>
      <c r="K9" s="8">
        <f t="shared" si="3"/>
        <v>-7.383025278611002E-3</v>
      </c>
      <c r="L9">
        <f t="shared" si="4"/>
        <v>-1866.4287904328614</v>
      </c>
      <c r="M9">
        <f>'FX FORWARD'!G9</f>
        <v>1.0078069999999999</v>
      </c>
      <c r="N9">
        <f t="shared" si="5"/>
        <v>-1880.9999999997706</v>
      </c>
      <c r="P9">
        <f t="shared" si="6"/>
        <v>254773.6096</v>
      </c>
    </row>
    <row r="10" spans="3:16">
      <c r="M10" s="1" t="s">
        <v>36</v>
      </c>
      <c r="N10" s="1">
        <f>SUM(N5:N9)</f>
        <v>-7806.9999999998427</v>
      </c>
      <c r="P10">
        <f>SUM(P6:P9)</f>
        <v>1016326.7840000001</v>
      </c>
    </row>
    <row r="12" spans="3:16">
      <c r="C12" s="1" t="s">
        <v>59</v>
      </c>
      <c r="D12" s="1"/>
    </row>
    <row r="13" spans="3:16">
      <c r="D13" s="6" t="s">
        <v>29</v>
      </c>
      <c r="E13" s="6" t="s">
        <v>37</v>
      </c>
      <c r="F13" s="6" t="s">
        <v>41</v>
      </c>
      <c r="G13" s="6" t="s">
        <v>30</v>
      </c>
      <c r="H13" s="6" t="s">
        <v>31</v>
      </c>
      <c r="I13" s="6" t="s">
        <v>32</v>
      </c>
      <c r="J13" s="6" t="s">
        <v>42</v>
      </c>
      <c r="K13" s="6" t="s">
        <v>43</v>
      </c>
      <c r="L13" s="6" t="s">
        <v>44</v>
      </c>
    </row>
    <row r="14" spans="3:16">
      <c r="C14" s="3">
        <f ca="1">TODAY()</f>
        <v>46093</v>
      </c>
      <c r="D14" s="4">
        <f>Caracteristiques!C12</f>
        <v>876962.20292905369</v>
      </c>
      <c r="E14">
        <v>1.1403000000000001</v>
      </c>
      <c r="F14">
        <v>1.1403000000000001</v>
      </c>
      <c r="G14">
        <f>G5</f>
        <v>1.1403000000000001</v>
      </c>
      <c r="H14">
        <v>1</v>
      </c>
      <c r="I14">
        <f>G14*H14</f>
        <v>1.1403000000000001</v>
      </c>
      <c r="J14" s="4">
        <f>D14</f>
        <v>876962.20292905369</v>
      </c>
      <c r="K14">
        <v>1</v>
      </c>
      <c r="L14">
        <f>J14*K14</f>
        <v>876962.20292905369</v>
      </c>
    </row>
    <row r="15" spans="3:16">
      <c r="C15" s="3">
        <f t="shared" ref="C15" ca="1" si="7">C14+90</f>
        <v>46183</v>
      </c>
      <c r="D15" s="4">
        <f>Caracteristiques!C12</f>
        <v>876962.20292905369</v>
      </c>
      <c r="E15">
        <v>1.1403000000000001</v>
      </c>
      <c r="F15">
        <f>'FX FORWARD'!I9</f>
        <v>1.178907248028576</v>
      </c>
      <c r="G15">
        <f>G9</f>
        <v>1.1403000000000001</v>
      </c>
      <c r="H15">
        <f>H9</f>
        <v>1</v>
      </c>
      <c r="I15">
        <f>G15*H15</f>
        <v>1.1403000000000001</v>
      </c>
      <c r="J15" s="4">
        <f xml:space="preserve"> -D15</f>
        <v>-876962.20292905369</v>
      </c>
      <c r="K15">
        <f>'FX FORWARD'!G9</f>
        <v>1.0078069999999999</v>
      </c>
      <c r="L15">
        <f>J15*K15</f>
        <v>-883808.64684732072</v>
      </c>
    </row>
    <row r="16" spans="3:16">
      <c r="K16" s="1" t="s">
        <v>36</v>
      </c>
      <c r="L16" s="1">
        <f>-L15-L14</f>
        <v>6846.4439182670321</v>
      </c>
    </row>
    <row r="19" spans="3:14">
      <c r="C19" s="1" t="s">
        <v>60</v>
      </c>
      <c r="D19" s="1"/>
    </row>
    <row r="20" spans="3:14">
      <c r="D20" s="6" t="s">
        <v>45</v>
      </c>
      <c r="E20" s="6" t="s">
        <v>46</v>
      </c>
      <c r="F20" s="6" t="s">
        <v>56</v>
      </c>
      <c r="G20" s="6" t="s">
        <v>30</v>
      </c>
      <c r="H20" s="6" t="s">
        <v>31</v>
      </c>
      <c r="I20" s="6" t="s">
        <v>47</v>
      </c>
      <c r="J20" s="6" t="s">
        <v>61</v>
      </c>
      <c r="K20" s="6" t="s">
        <v>62</v>
      </c>
      <c r="L20" s="6" t="s">
        <v>48</v>
      </c>
      <c r="M20" s="6" t="s">
        <v>49</v>
      </c>
      <c r="N20" s="6" t="s">
        <v>44</v>
      </c>
    </row>
    <row r="21" spans="3:14">
      <c r="C21" s="3">
        <f ca="1">TODAY()</f>
        <v>46093</v>
      </c>
      <c r="D21" s="4">
        <f>Caracteristiques!$C$12</f>
        <v>876962.20292905369</v>
      </c>
      <c r="E21">
        <f>E5</f>
        <v>1.1403000000000001</v>
      </c>
      <c r="F21" s="7">
        <f>F5</f>
        <v>1.1403000000000001</v>
      </c>
      <c r="G21">
        <f>G5</f>
        <v>1.1403000000000001</v>
      </c>
      <c r="H21">
        <f>H5</f>
        <v>1</v>
      </c>
      <c r="I21">
        <f>G21*H21</f>
        <v>1.1403000000000001</v>
      </c>
      <c r="J21">
        <f>IF(Caracteristiques!$B$5="YES",1,0)</f>
        <v>1</v>
      </c>
      <c r="K21">
        <f>IF(Caracteristiques!$C$18="NO",0,1)</f>
        <v>0</v>
      </c>
      <c r="L21">
        <f>0</f>
        <v>0</v>
      </c>
      <c r="M21">
        <f>'FX FORWARD'!G5</f>
        <v>1</v>
      </c>
      <c r="N21">
        <f>L21*M21</f>
        <v>0</v>
      </c>
    </row>
    <row r="22" spans="3:14">
      <c r="C22" s="3">
        <f ca="1">C21+90</f>
        <v>46183</v>
      </c>
      <c r="D22" s="4">
        <f>Caracteristiques!$C$12</f>
        <v>876962.20292905369</v>
      </c>
      <c r="E22">
        <f t="shared" ref="E22:G25" si="8">E6</f>
        <v>1.1403000000000001</v>
      </c>
      <c r="F22" s="7">
        <f t="shared" si="8"/>
        <v>1.1496879936228852</v>
      </c>
      <c r="G22">
        <f t="shared" si="8"/>
        <v>1.1403000000000001</v>
      </c>
      <c r="H22">
        <f t="shared" ref="H22:H25" si="9">H6</f>
        <v>1</v>
      </c>
      <c r="I22">
        <f t="shared" ref="I22:I25" si="10">G22*H22</f>
        <v>1.1403000000000001</v>
      </c>
      <c r="J22">
        <f>IF(Caracteristiques!$B$5="YES",1,0)</f>
        <v>1</v>
      </c>
      <c r="K22">
        <f>IF(Caracteristiques!$C$18="NO",0,1)</f>
        <v>0</v>
      </c>
      <c r="L22">
        <f>D22*(I22-I23)</f>
        <v>0</v>
      </c>
      <c r="M22">
        <f>'FX FORWARD'!G6</f>
        <v>1.002365</v>
      </c>
      <c r="N22">
        <f t="shared" ref="N22:N25" si="11">L22*M22</f>
        <v>0</v>
      </c>
    </row>
    <row r="23" spans="3:14">
      <c r="C23" s="3">
        <f t="shared" ref="C23:C25" ca="1" si="12">C22+90</f>
        <v>46273</v>
      </c>
      <c r="D23" s="4">
        <f>Caracteristiques!$C$12</f>
        <v>876962.20292905369</v>
      </c>
      <c r="E23">
        <f t="shared" si="8"/>
        <v>1.1403000000000001</v>
      </c>
      <c r="F23" s="7">
        <f t="shared" si="8"/>
        <v>1.1589283588434083</v>
      </c>
      <c r="G23">
        <f t="shared" si="8"/>
        <v>1.1403000000000001</v>
      </c>
      <c r="H23">
        <f t="shared" si="9"/>
        <v>1</v>
      </c>
      <c r="I23">
        <f t="shared" si="10"/>
        <v>1.1403000000000001</v>
      </c>
      <c r="J23">
        <f>IF(Caracteristiques!$B$5="YES",1,0)</f>
        <v>1</v>
      </c>
      <c r="K23">
        <f>IF(Caracteristiques!$C$18="NO",0,1)</f>
        <v>0</v>
      </c>
      <c r="L23">
        <f t="shared" ref="L23:L24" si="13">D23*(I23-I24)</f>
        <v>0</v>
      </c>
      <c r="M23">
        <f>'FX FORWARD'!G7</f>
        <v>1.0041819999999999</v>
      </c>
      <c r="N23">
        <f t="shared" si="11"/>
        <v>0</v>
      </c>
    </row>
    <row r="24" spans="3:14">
      <c r="C24" s="3">
        <f t="shared" ca="1" si="12"/>
        <v>46363</v>
      </c>
      <c r="D24" s="4">
        <f>Caracteristiques!$C$12</f>
        <v>876962.20292905369</v>
      </c>
      <c r="E24">
        <f t="shared" si="8"/>
        <v>1.1403000000000001</v>
      </c>
      <c r="F24" s="7">
        <f t="shared" si="8"/>
        <v>1.1687744152089985</v>
      </c>
      <c r="G24">
        <f t="shared" si="8"/>
        <v>1.1403000000000001</v>
      </c>
      <c r="H24">
        <f t="shared" si="9"/>
        <v>1</v>
      </c>
      <c r="I24">
        <f t="shared" si="10"/>
        <v>1.1403000000000001</v>
      </c>
      <c r="J24">
        <f>IF(Caracteristiques!$B$5="YES",1,0)</f>
        <v>1</v>
      </c>
      <c r="K24">
        <f>IF(Caracteristiques!$C$18="NO",0,1)</f>
        <v>0</v>
      </c>
      <c r="L24">
        <f t="shared" si="13"/>
        <v>0</v>
      </c>
      <c r="M24">
        <f>'FX FORWARD'!G8</f>
        <v>1.0059260000000001</v>
      </c>
      <c r="N24">
        <f t="shared" si="11"/>
        <v>0</v>
      </c>
    </row>
    <row r="25" spans="3:14">
      <c r="C25" s="3">
        <f t="shared" ca="1" si="12"/>
        <v>46453</v>
      </c>
      <c r="D25" s="4">
        <f>Caracteristiques!$C$12</f>
        <v>876962.20292905369</v>
      </c>
      <c r="E25">
        <f t="shared" si="8"/>
        <v>1.1403000000000001</v>
      </c>
      <c r="F25" s="7">
        <f t="shared" si="8"/>
        <v>1.178907248028576</v>
      </c>
      <c r="G25">
        <f t="shared" si="8"/>
        <v>1.1403000000000001</v>
      </c>
      <c r="H25">
        <f t="shared" si="9"/>
        <v>1</v>
      </c>
      <c r="I25">
        <f t="shared" si="10"/>
        <v>1.1403000000000001</v>
      </c>
      <c r="J25">
        <f>IF(Caracteristiques!$B$5="YES",1,0)</f>
        <v>1</v>
      </c>
      <c r="K25">
        <f>IF(Caracteristiques!$C$18="NO",0,1)</f>
        <v>0</v>
      </c>
      <c r="L25">
        <f t="shared" ref="L25" si="14">D26*I25-D26*I26</f>
        <v>0</v>
      </c>
      <c r="M25">
        <f>'FX FORWARD'!G9</f>
        <v>1.0078069999999999</v>
      </c>
      <c r="N25">
        <f t="shared" si="11"/>
        <v>0</v>
      </c>
    </row>
    <row r="26" spans="3:14">
      <c r="M26" s="1" t="s">
        <v>36</v>
      </c>
      <c r="N26" s="1">
        <f>SUM(N21:N25)</f>
        <v>0</v>
      </c>
    </row>
    <row r="28" spans="3:14">
      <c r="H28" s="1" t="s">
        <v>74</v>
      </c>
      <c r="I28" s="1">
        <f>N10+L16+N26</f>
        <v>-960.55608173281053</v>
      </c>
      <c r="J28" s="9"/>
      <c r="K28" s="9"/>
      <c r="L28" s="9"/>
    </row>
    <row r="30" spans="3:14">
      <c r="H30" s="1" t="s">
        <v>73</v>
      </c>
      <c r="I30" s="1">
        <f>P10</f>
        <v>1016326.7840000001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E24B-AA4C-44CD-A3AC-CDD8E8638DDF}">
  <dimension ref="C2:P31"/>
  <sheetViews>
    <sheetView tabSelected="1" topLeftCell="B1" zoomScale="48" zoomScaleNormal="80" workbookViewId="0">
      <selection activeCell="D11" sqref="D11:E11"/>
    </sheetView>
  </sheetViews>
  <sheetFormatPr baseColWidth="10" defaultRowHeight="14.5"/>
  <cols>
    <col min="5" max="5" width="16.36328125" customWidth="1"/>
    <col min="6" max="6" width="17.7265625" customWidth="1"/>
    <col min="7" max="7" width="14.90625" customWidth="1"/>
    <col min="9" max="9" width="18.1796875" customWidth="1"/>
  </cols>
  <sheetData>
    <row r="2" spans="3:16">
      <c r="C2" s="1" t="s">
        <v>64</v>
      </c>
      <c r="D2" s="1"/>
    </row>
    <row r="3" spans="3:16">
      <c r="C3" t="s">
        <v>50</v>
      </c>
      <c r="D3" s="6" t="s">
        <v>29</v>
      </c>
      <c r="E3" s="6" t="s">
        <v>63</v>
      </c>
      <c r="F3" s="6" t="s">
        <v>65</v>
      </c>
      <c r="G3" s="6" t="s">
        <v>39</v>
      </c>
      <c r="H3" s="6" t="s">
        <v>31</v>
      </c>
      <c r="I3" s="6" t="s">
        <v>32</v>
      </c>
      <c r="J3" s="6" t="s">
        <v>33</v>
      </c>
      <c r="K3" s="6" t="s">
        <v>34</v>
      </c>
      <c r="L3" s="6" t="s">
        <v>40</v>
      </c>
      <c r="M3" s="6" t="s">
        <v>52</v>
      </c>
      <c r="N3" s="6" t="s">
        <v>35</v>
      </c>
      <c r="P3" s="6" t="s">
        <v>72</v>
      </c>
    </row>
    <row r="4" spans="3:16">
      <c r="C4" s="3">
        <f ca="1">TODAY()</f>
        <v>46093</v>
      </c>
      <c r="D4" s="4">
        <f>Caracteristiques!$B$12</f>
        <v>1000000</v>
      </c>
      <c r="E4">
        <f>1/Caracteristiques!$B$10</f>
        <v>0.87696220292905369</v>
      </c>
      <c r="F4" s="7">
        <f>1/'FX FORWARD'!I5</f>
        <v>0.87696220292905369</v>
      </c>
      <c r="G4">
        <f>1</f>
        <v>1</v>
      </c>
      <c r="H4">
        <f>IF(Caracteristiques!$B$18="NO",1,ForeignLeg!F4/ForeignLeg!E4)</f>
        <v>1</v>
      </c>
      <c r="I4">
        <f>G4*H4</f>
        <v>1</v>
      </c>
      <c r="J4">
        <v>0.25280000000000002</v>
      </c>
      <c r="K4" s="8">
        <v>0</v>
      </c>
      <c r="L4">
        <f>D4*I4*J4*K4</f>
        <v>0</v>
      </c>
      <c r="M4">
        <f>'FX FORWARD'!H5</f>
        <v>1</v>
      </c>
      <c r="N4">
        <f>L4*M4</f>
        <v>0</v>
      </c>
      <c r="P4">
        <f>0</f>
        <v>0</v>
      </c>
    </row>
    <row r="5" spans="3:16">
      <c r="C5" s="3">
        <f ca="1">C4+90</f>
        <v>46183</v>
      </c>
      <c r="D5" s="4">
        <f>Caracteristiques!$B$12</f>
        <v>1000000</v>
      </c>
      <c r="E5">
        <f>1/Caracteristiques!$B$10</f>
        <v>0.87696220292905369</v>
      </c>
      <c r="F5" s="7">
        <f>1/'FX FORWARD'!I6</f>
        <v>0.86980120306276321</v>
      </c>
      <c r="G5">
        <f>1</f>
        <v>1</v>
      </c>
      <c r="H5">
        <f>IF(Caracteristiques!$B$18="NO",1,ForeignLeg!F5/ForeignLeg!E5)</f>
        <v>0.99183431185246895</v>
      </c>
      <c r="I5">
        <f t="shared" ref="I5:I8" si="0">G5*H5</f>
        <v>0.99183431185246895</v>
      </c>
      <c r="J5">
        <v>0.25280000000000002</v>
      </c>
      <c r="K5" s="8">
        <f>(1/J5)*(M4/M5-1)</f>
        <v>2.315692520341801E-2</v>
      </c>
      <c r="L5">
        <f>D5*I5*J5*K5</f>
        <v>5806.2681757643031</v>
      </c>
      <c r="M5">
        <f>'FX FORWARD'!H6</f>
        <v>0.99417999999999995</v>
      </c>
      <c r="N5">
        <f>L5*M5</f>
        <v>5772.4756949813545</v>
      </c>
      <c r="P5">
        <f>$D$5*I5*J5*M5</f>
        <v>249276.43218061287</v>
      </c>
    </row>
    <row r="6" spans="3:16">
      <c r="C6" s="3">
        <f t="shared" ref="C6:C7" ca="1" si="1">C5+90</f>
        <v>46273</v>
      </c>
      <c r="D6" s="4">
        <f>Caracteristiques!$B$12</f>
        <v>1000000</v>
      </c>
      <c r="E6">
        <f>1/Caracteristiques!$B$10</f>
        <v>0.87696220292905369</v>
      </c>
      <c r="F6" s="7">
        <f>1/'FX FORWARD'!I7</f>
        <v>0.86286610588939583</v>
      </c>
      <c r="G6">
        <f>1</f>
        <v>1</v>
      </c>
      <c r="H6">
        <f>IF(Caracteristiques!$B$18="NO",1,ForeignLeg!F6/ForeignLeg!E6)</f>
        <v>0.98392622054567813</v>
      </c>
      <c r="I6">
        <f t="shared" si="0"/>
        <v>0.98392622054567813</v>
      </c>
      <c r="J6">
        <v>0.25280000000000002</v>
      </c>
      <c r="K6" s="8">
        <f t="shared" ref="K6:K8" si="2">(1/J6)*(M5/M6-1)</f>
        <v>2.4577946651345176E-2</v>
      </c>
      <c r="L6">
        <f t="shared" ref="L6:L8" si="3">D6*I6*J6*K6</f>
        <v>6113.4336205986501</v>
      </c>
      <c r="M6">
        <f>'FX FORWARD'!H7</f>
        <v>0.98804099999999995</v>
      </c>
      <c r="N6">
        <f t="shared" ref="N6:N8" si="4">L6*M6</f>
        <v>6040.3230679299104</v>
      </c>
      <c r="P6">
        <f t="shared" ref="P6:P8" si="5">$D$5*I6*J6*M6</f>
        <v>245761.90816979081</v>
      </c>
    </row>
    <row r="7" spans="3:16">
      <c r="C7" s="3">
        <f t="shared" ca="1" si="1"/>
        <v>46363</v>
      </c>
      <c r="D7" s="4">
        <f>Caracteristiques!$B$12</f>
        <v>1000000</v>
      </c>
      <c r="E7">
        <f>1/Caracteristiques!$B$10</f>
        <v>0.87696220292905369</v>
      </c>
      <c r="F7" s="7">
        <f>1/'FX FORWARD'!I8</f>
        <v>0.85559709982287857</v>
      </c>
      <c r="G7">
        <f>1</f>
        <v>1</v>
      </c>
      <c r="H7">
        <f>IF(Caracteristiques!$B$18="NO",1,ForeignLeg!F7/ForeignLeg!E7)</f>
        <v>0.97563737292802855</v>
      </c>
      <c r="I7">
        <f t="shared" si="0"/>
        <v>0.97563737292802855</v>
      </c>
      <c r="J7">
        <v>0.25280000000000002</v>
      </c>
      <c r="K7" s="8">
        <f t="shared" si="2"/>
        <v>2.6690557502111207E-2</v>
      </c>
      <c r="L7">
        <f t="shared" si="3"/>
        <v>6582.9892059654303</v>
      </c>
      <c r="M7">
        <f>'FX FORWARD'!H8</f>
        <v>0.98141900000000004</v>
      </c>
      <c r="N7">
        <f t="shared" si="4"/>
        <v>6460.6706835293871</v>
      </c>
      <c r="P7">
        <f t="shared" si="5"/>
        <v>242058.2890791379</v>
      </c>
    </row>
    <row r="8" spans="3:16">
      <c r="C8" s="3">
        <f ca="1">C7+90</f>
        <v>46453</v>
      </c>
      <c r="D8" s="4">
        <f>Caracteristiques!$B$12</f>
        <v>1000000</v>
      </c>
      <c r="E8">
        <f>1/Caracteristiques!$B$10</f>
        <v>0.87696220292905369</v>
      </c>
      <c r="F8" s="7">
        <f>1/'FX FORWARD'!I9</f>
        <v>0.84824315201407652</v>
      </c>
      <c r="G8">
        <f>1</f>
        <v>1</v>
      </c>
      <c r="H8">
        <f>IF(Caracteristiques!$B$18="NO",1,ForeignLeg!F8/ForeignLeg!E8)</f>
        <v>0.96725166624165149</v>
      </c>
      <c r="I8">
        <f t="shared" si="0"/>
        <v>0.96725166624165149</v>
      </c>
      <c r="J8">
        <v>0.25280000000000002</v>
      </c>
      <c r="K8" s="8">
        <f t="shared" si="2"/>
        <v>2.6847358980172615E-2</v>
      </c>
      <c r="L8">
        <f t="shared" si="3"/>
        <v>6564.7490045216591</v>
      </c>
      <c r="M8">
        <f>'FX FORWARD'!H9</f>
        <v>0.97480299999999998</v>
      </c>
      <c r="N8">
        <f t="shared" si="4"/>
        <v>6399.3370238547268</v>
      </c>
      <c r="P8">
        <f t="shared" si="5"/>
        <v>238360.02001466078</v>
      </c>
    </row>
    <row r="9" spans="3:16">
      <c r="M9" s="1" t="s">
        <v>36</v>
      </c>
      <c r="N9" s="1">
        <f>SUM(N4:N8)</f>
        <v>24672.806470295378</v>
      </c>
      <c r="P9">
        <f>SUM(P5:P8)</f>
        <v>975456.64944420231</v>
      </c>
    </row>
    <row r="11" spans="3:16">
      <c r="C11" s="1" t="s">
        <v>66</v>
      </c>
      <c r="D11" s="1"/>
      <c r="E11" s="1"/>
    </row>
    <row r="12" spans="3:16">
      <c r="D12" s="6" t="s">
        <v>29</v>
      </c>
      <c r="E12" s="6" t="s">
        <v>67</v>
      </c>
      <c r="F12" s="6" t="s">
        <v>68</v>
      </c>
      <c r="G12" s="6" t="s">
        <v>30</v>
      </c>
      <c r="H12" s="6" t="s">
        <v>31</v>
      </c>
      <c r="I12" s="6" t="s">
        <v>32</v>
      </c>
      <c r="J12" s="6" t="s">
        <v>42</v>
      </c>
      <c r="K12" s="6" t="s">
        <v>43</v>
      </c>
      <c r="L12" s="6" t="s">
        <v>44</v>
      </c>
    </row>
    <row r="13" spans="3:16">
      <c r="C13" s="3">
        <f ca="1">TODAY()</f>
        <v>46093</v>
      </c>
      <c r="D13" s="4">
        <f>Caracteristiques!B3</f>
        <v>1000000</v>
      </c>
      <c r="E13">
        <f>E4</f>
        <v>0.87696220292905369</v>
      </c>
      <c r="F13" s="7">
        <f>F4</f>
        <v>0.87696220292905369</v>
      </c>
      <c r="G13">
        <f>G4</f>
        <v>1</v>
      </c>
      <c r="H13">
        <v>1</v>
      </c>
      <c r="I13">
        <f>G13*H13</f>
        <v>1</v>
      </c>
      <c r="J13" s="4">
        <f>D13</f>
        <v>1000000</v>
      </c>
      <c r="K13">
        <v>1</v>
      </c>
      <c r="L13">
        <f>J13*K13</f>
        <v>1000000</v>
      </c>
    </row>
    <row r="14" spans="3:16">
      <c r="C14" s="3">
        <f ca="1">C8</f>
        <v>46453</v>
      </c>
      <c r="D14" s="4">
        <f>D13</f>
        <v>1000000</v>
      </c>
      <c r="E14">
        <f>E8</f>
        <v>0.87696220292905369</v>
      </c>
      <c r="F14" s="7">
        <f>F8</f>
        <v>0.84824315201407652</v>
      </c>
      <c r="G14">
        <f>G8</f>
        <v>1</v>
      </c>
      <c r="H14">
        <f>H8</f>
        <v>0.96725166624165149</v>
      </c>
      <c r="I14">
        <f>G14*H14</f>
        <v>0.96725166624165149</v>
      </c>
      <c r="J14" s="4">
        <f xml:space="preserve"> -D14</f>
        <v>-1000000</v>
      </c>
      <c r="K14">
        <f>'FX FORWARD'!G8</f>
        <v>1.0059260000000001</v>
      </c>
      <c r="L14">
        <f>J14*K14</f>
        <v>-1005926.0000000001</v>
      </c>
    </row>
    <row r="15" spans="3:16">
      <c r="K15" s="1" t="s">
        <v>36</v>
      </c>
      <c r="L15" s="1">
        <f>-L13-L14</f>
        <v>5926.0000000001164</v>
      </c>
    </row>
    <row r="18" spans="3:14">
      <c r="C18" s="1" t="s">
        <v>79</v>
      </c>
      <c r="D18" s="1"/>
      <c r="E18" s="1"/>
    </row>
    <row r="19" spans="3:14">
      <c r="D19" s="6" t="s">
        <v>45</v>
      </c>
      <c r="E19" s="6" t="s">
        <v>67</v>
      </c>
      <c r="F19" s="6" t="s">
        <v>65</v>
      </c>
      <c r="G19" s="6" t="s">
        <v>30</v>
      </c>
      <c r="H19" s="6" t="s">
        <v>31</v>
      </c>
      <c r="I19" s="6" t="s">
        <v>47</v>
      </c>
      <c r="J19" s="6" t="s">
        <v>61</v>
      </c>
      <c r="K19" s="6" t="s">
        <v>62</v>
      </c>
      <c r="L19" s="6" t="s">
        <v>48</v>
      </c>
      <c r="M19" s="6" t="s">
        <v>49</v>
      </c>
      <c r="N19" s="6" t="s">
        <v>44</v>
      </c>
    </row>
    <row r="20" spans="3:14">
      <c r="C20" s="3">
        <f ca="1">TODAY()</f>
        <v>46093</v>
      </c>
      <c r="D20" s="4">
        <f>$D$13</f>
        <v>1000000</v>
      </c>
      <c r="E20">
        <f>E4</f>
        <v>0.87696220292905369</v>
      </c>
      <c r="F20" s="7">
        <f>F4</f>
        <v>0.87696220292905369</v>
      </c>
      <c r="G20">
        <f>G4</f>
        <v>1</v>
      </c>
      <c r="H20">
        <f>H4</f>
        <v>1</v>
      </c>
      <c r="I20">
        <f>G20*H20</f>
        <v>1</v>
      </c>
      <c r="J20">
        <f>IF(Caracteristiques!$B$5="YES",1,0)</f>
        <v>1</v>
      </c>
      <c r="K20">
        <f>IF(Caracteristiques!B18="NO",0,1)</f>
        <v>1</v>
      </c>
      <c r="L20">
        <f>0</f>
        <v>0</v>
      </c>
      <c r="M20">
        <f>'FX FORWARD'!H5</f>
        <v>1</v>
      </c>
      <c r="N20">
        <f>L20*M20</f>
        <v>0</v>
      </c>
    </row>
    <row r="21" spans="3:14">
      <c r="C21" s="3">
        <f ca="1">C20+90</f>
        <v>46183</v>
      </c>
      <c r="D21" s="4">
        <f t="shared" ref="D21:D24" si="6">$D$13</f>
        <v>1000000</v>
      </c>
      <c r="E21">
        <f t="shared" ref="E21:H24" si="7">E5</f>
        <v>0.87696220292905369</v>
      </c>
      <c r="F21" s="7">
        <f t="shared" si="7"/>
        <v>0.86980120306276321</v>
      </c>
      <c r="G21">
        <f t="shared" si="7"/>
        <v>1</v>
      </c>
      <c r="H21">
        <f>H5</f>
        <v>0.99183431185246895</v>
      </c>
      <c r="I21">
        <f>G21*H21</f>
        <v>0.99183431185246895</v>
      </c>
      <c r="J21">
        <f>IF(Caracteristiques!$B$5="YES",1,0)</f>
        <v>1</v>
      </c>
      <c r="K21">
        <f>IF(Caracteristiques!B19="NO",0,1)</f>
        <v>1</v>
      </c>
      <c r="L21">
        <f>$D$21*(I21-I22)</f>
        <v>7908.0913067908214</v>
      </c>
      <c r="M21">
        <f>'FX FORWARD'!H6</f>
        <v>0.99417999999999995</v>
      </c>
      <c r="N21">
        <f>L21*M21</f>
        <v>7862.0662153852982</v>
      </c>
    </row>
    <row r="22" spans="3:14">
      <c r="C22" s="3">
        <f t="shared" ref="C22:C23" ca="1" si="8">C21+90</f>
        <v>46273</v>
      </c>
      <c r="D22" s="4">
        <f t="shared" si="6"/>
        <v>1000000</v>
      </c>
      <c r="E22">
        <f t="shared" si="7"/>
        <v>0.87696220292905369</v>
      </c>
      <c r="F22" s="7">
        <f t="shared" si="7"/>
        <v>0.86286610588939583</v>
      </c>
      <c r="G22">
        <f t="shared" si="7"/>
        <v>1</v>
      </c>
      <c r="H22">
        <f t="shared" si="7"/>
        <v>0.98392622054567813</v>
      </c>
      <c r="I22">
        <f t="shared" ref="I22:I24" si="9">G22*H22</f>
        <v>0.98392622054567813</v>
      </c>
      <c r="J22">
        <f>IF(Caracteristiques!$B$5="YES",1,0)</f>
        <v>1</v>
      </c>
      <c r="K22">
        <f>IF(Caracteristiques!B20="NO",0,1)</f>
        <v>1</v>
      </c>
      <c r="L22">
        <f t="shared" ref="L22:L23" si="10">$D$21*(I22-I23)</f>
        <v>8288.847617649586</v>
      </c>
      <c r="M22">
        <f>'FX FORWARD'!H7</f>
        <v>0.98804099999999995</v>
      </c>
      <c r="N22">
        <f t="shared" ref="N22:N23" si="11">L22*M22</f>
        <v>8189.7212889901139</v>
      </c>
    </row>
    <row r="23" spans="3:14">
      <c r="C23" s="3">
        <f t="shared" ca="1" si="8"/>
        <v>46363</v>
      </c>
      <c r="D23" s="4">
        <f t="shared" si="6"/>
        <v>1000000</v>
      </c>
      <c r="E23">
        <f t="shared" si="7"/>
        <v>0.87696220292905369</v>
      </c>
      <c r="F23" s="7">
        <f t="shared" si="7"/>
        <v>0.85559709982287857</v>
      </c>
      <c r="G23">
        <f t="shared" si="7"/>
        <v>1</v>
      </c>
      <c r="H23">
        <f t="shared" si="7"/>
        <v>0.97563737292802855</v>
      </c>
      <c r="I23">
        <f t="shared" si="9"/>
        <v>0.97563737292802855</v>
      </c>
      <c r="J23">
        <f>IF(Caracteristiques!$B$5="YES",1,0)</f>
        <v>1</v>
      </c>
      <c r="K23">
        <f>IF(Caracteristiques!B21="NO",0,1)</f>
        <v>1</v>
      </c>
      <c r="L23">
        <f t="shared" si="10"/>
        <v>8385.7066863770597</v>
      </c>
      <c r="M23">
        <f>'FX FORWARD'!H8</f>
        <v>0.98141900000000004</v>
      </c>
      <c r="N23">
        <f t="shared" si="11"/>
        <v>8229.8918704374883</v>
      </c>
    </row>
    <row r="24" spans="3:14">
      <c r="C24" s="3">
        <f ca="1">C23+90</f>
        <v>46453</v>
      </c>
      <c r="D24" s="4">
        <f t="shared" si="6"/>
        <v>1000000</v>
      </c>
      <c r="E24">
        <f t="shared" si="7"/>
        <v>0.87696220292905369</v>
      </c>
      <c r="F24" s="7">
        <f t="shared" si="7"/>
        <v>0.84824315201407652</v>
      </c>
      <c r="G24">
        <f t="shared" si="7"/>
        <v>1</v>
      </c>
      <c r="H24">
        <f t="shared" si="7"/>
        <v>0.96725166624165149</v>
      </c>
      <c r="I24">
        <f t="shared" si="9"/>
        <v>0.96725166624165149</v>
      </c>
      <c r="J24">
        <f>IF(Caracteristiques!$B$5="YES",1,0)</f>
        <v>1</v>
      </c>
      <c r="K24">
        <f>IF(Caracteristiques!B22="NO",0,1)</f>
        <v>1</v>
      </c>
      <c r="M24">
        <f>'FX FORWARD'!H9</f>
        <v>0.97480299999999998</v>
      </c>
      <c r="N24">
        <f>L24*M24</f>
        <v>0</v>
      </c>
    </row>
    <row r="25" spans="3:14">
      <c r="M25" s="1" t="s">
        <v>36</v>
      </c>
      <c r="N25" s="1">
        <f>SUM(N20:N24)</f>
        <v>24281.679374812898</v>
      </c>
    </row>
    <row r="29" spans="3:14">
      <c r="I29" s="1" t="s">
        <v>75</v>
      </c>
      <c r="J29" s="1">
        <f>N9+L15+N25</f>
        <v>54880.485845108393</v>
      </c>
      <c r="K29" s="1"/>
      <c r="L29" s="1"/>
    </row>
    <row r="31" spans="3:14">
      <c r="I31" s="1" t="s">
        <v>76</v>
      </c>
      <c r="J31" s="1">
        <f>P9</f>
        <v>975456.64944420231</v>
      </c>
      <c r="K31" s="1"/>
      <c r="L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C157-C839-4ACB-A13C-BEAEE581E558}">
  <dimension ref="D3:I9"/>
  <sheetViews>
    <sheetView topLeftCell="C1" zoomScale="115" zoomScaleNormal="115" workbookViewId="0">
      <selection activeCell="I6" sqref="I6"/>
    </sheetView>
  </sheetViews>
  <sheetFormatPr baseColWidth="10" defaultRowHeight="14.5"/>
  <cols>
    <col min="6" max="6" width="16" customWidth="1"/>
  </cols>
  <sheetData>
    <row r="3" spans="4:9">
      <c r="D3" s="1" t="s">
        <v>38</v>
      </c>
      <c r="E3" s="1"/>
    </row>
    <row r="4" spans="4:9">
      <c r="D4" s="6"/>
      <c r="E4" s="6" t="s">
        <v>50</v>
      </c>
      <c r="F4" s="6" t="s">
        <v>51</v>
      </c>
      <c r="G4" s="6" t="s">
        <v>53</v>
      </c>
      <c r="H4" s="6" t="s">
        <v>54</v>
      </c>
      <c r="I4" s="6" t="s">
        <v>55</v>
      </c>
    </row>
    <row r="5" spans="4:9">
      <c r="E5" s="3">
        <f ca="1">TODAY()</f>
        <v>46093</v>
      </c>
      <c r="F5">
        <f>Caracteristiques!$B$10</f>
        <v>1.1403000000000001</v>
      </c>
      <c r="G5">
        <v>1</v>
      </c>
      <c r="H5">
        <v>1</v>
      </c>
      <c r="I5">
        <f>F5*G5/H5</f>
        <v>1.1403000000000001</v>
      </c>
    </row>
    <row r="6" spans="4:9">
      <c r="E6" s="3">
        <f ca="1">TODAY()+90</f>
        <v>46183</v>
      </c>
      <c r="F6">
        <f>Caracteristiques!$B$10</f>
        <v>1.1403000000000001</v>
      </c>
      <c r="G6">
        <v>1.002365</v>
      </c>
      <c r="H6">
        <v>0.99417999999999995</v>
      </c>
      <c r="I6">
        <f t="shared" ref="I6:I9" si="0">F6*G6/H6</f>
        <v>1.1496879936228852</v>
      </c>
    </row>
    <row r="7" spans="4:9">
      <c r="E7" s="3">
        <f t="shared" ref="E7:E9" ca="1" si="1">TODAY()+90</f>
        <v>46183</v>
      </c>
      <c r="F7">
        <f>Caracteristiques!$B$10</f>
        <v>1.1403000000000001</v>
      </c>
      <c r="G7">
        <v>1.0041819999999999</v>
      </c>
      <c r="H7">
        <v>0.98804099999999995</v>
      </c>
      <c r="I7">
        <f t="shared" si="0"/>
        <v>1.1589283588434083</v>
      </c>
    </row>
    <row r="8" spans="4:9">
      <c r="E8" s="3">
        <f t="shared" ca="1" si="1"/>
        <v>46183</v>
      </c>
      <c r="F8">
        <f>Caracteristiques!$B$10</f>
        <v>1.1403000000000001</v>
      </c>
      <c r="G8">
        <v>1.0059260000000001</v>
      </c>
      <c r="H8">
        <v>0.98141900000000004</v>
      </c>
      <c r="I8">
        <f t="shared" si="0"/>
        <v>1.1687744152089985</v>
      </c>
    </row>
    <row r="9" spans="4:9">
      <c r="E9" s="3">
        <f t="shared" ca="1" si="1"/>
        <v>46183</v>
      </c>
      <c r="F9">
        <f>Caracteristiques!$B$10</f>
        <v>1.1403000000000001</v>
      </c>
      <c r="G9">
        <v>1.0078069999999999</v>
      </c>
      <c r="H9">
        <v>0.97480299999999998</v>
      </c>
      <c r="I9">
        <f t="shared" si="0"/>
        <v>1.178907248028576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787C-FC59-4DB6-9782-E13F7B5038D1}">
  <dimension ref="A3:I28"/>
  <sheetViews>
    <sheetView workbookViewId="0">
      <selection activeCell="A3" sqref="A3:C3"/>
    </sheetView>
  </sheetViews>
  <sheetFormatPr baseColWidth="10" defaultRowHeight="14.5"/>
  <sheetData>
    <row r="3" spans="1:7">
      <c r="A3" s="10" t="s">
        <v>77</v>
      </c>
      <c r="B3" s="10"/>
      <c r="C3" s="10"/>
      <c r="E3" s="1" t="s">
        <v>70</v>
      </c>
      <c r="F3" s="1"/>
      <c r="G3" s="1"/>
    </row>
    <row r="4" spans="1:7">
      <c r="A4" s="11">
        <f>ForeignLeg!J29-' Domestic Leg'!I28</f>
        <v>55841.041926841201</v>
      </c>
      <c r="B4" s="11"/>
      <c r="C4" s="11"/>
      <c r="E4" s="11">
        <f>' Domestic Leg'!I28</f>
        <v>-960.55608173281053</v>
      </c>
      <c r="F4" s="11"/>
      <c r="G4" s="11"/>
    </row>
    <row r="6" spans="1:7">
      <c r="A6" s="10" t="s">
        <v>69</v>
      </c>
      <c r="B6" s="10"/>
      <c r="C6" s="10"/>
    </row>
    <row r="28" spans="9:9">
      <c r="I28" t="e" cm="1">
        <f t="array" ref="I28">' Domestic Leg'!q</f>
        <v>#NAME?</v>
      </c>
    </row>
  </sheetData>
  <mergeCells count="4">
    <mergeCell ref="A3:C3"/>
    <mergeCell ref="A4:C4"/>
    <mergeCell ref="A6:C6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Caracteristiques</vt:lpstr>
      <vt:lpstr> Domestic Leg</vt:lpstr>
      <vt:lpstr>ForeignLeg</vt:lpstr>
      <vt:lpstr>FX FORWARD</vt:lpstr>
      <vt:lpstr>result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2026-03-11T12:26:04Z</dcterms:created>
  <dcterms:modified xsi:type="dcterms:W3CDTF">2026-03-12T22:05:01Z</dcterms:modified>
</cp:coreProperties>
</file>